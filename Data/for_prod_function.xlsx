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ominal" sheetId="1" state="visible" r:id="rId3"/>
    <sheet name="real" sheetId="2" state="visible" r:id="rId4"/>
    <sheet name="wag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<sst xmlns="http://schemas.openxmlformats.org/spreadsheetml/2006/main" count="12" uniqueCount="7">
  <si>
    <t xml:space="preserve">Год</t>
  </si>
  <si>
    <t xml:space="preserve">ВНОК</t>
  </si>
  <si>
    <t xml:space="preserve">ВВП</t>
  </si>
  <si>
    <t xml:space="preserve">Занятых</t>
  </si>
  <si>
    <t xml:space="preserve">y-y CPI</t>
  </si>
  <si>
    <t xml:space="preserve">wage</t>
  </si>
  <si>
    <t xml:space="preserve">cumul CPI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</si>
</sst>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0.00"/>
    <numFmt numFmtId="167" formatCode="0.000"/>
    <numFmt numFmtId="168" formatCode="#,##0.0"/>
    <numFmt numFmtId="169" formatCode="0"/>
  </numFmts>
  <fonts count="7">
    <font>
      <sz val="10"/>
      <name val="Arial Cyr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DejaVu Sans"/>
      <family val="2"/>
      <charset val="1"/>
    </font>
    <font>
      <sz val="11"/>
      <color theme="1"/>
      <name val="DejaVu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_116 - Счет производства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234375" defaultRowHeight="12.8" zeroHeight="false" outlineLevelRow="0" outlineLevelCol="0"/>
  <cols>
    <col collapsed="false" customWidth="true" hidden="false" outlineLevel="0" max="2" min="2" style="1" width="14.56"/>
    <col collapsed="false" customWidth="true" hidden="false" outlineLevel="0" max="9" min="9" style="1" width="14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5" hidden="false" customHeight="false" outlineLevel="0" collapsed="false">
      <c r="A2" s="3" t="n">
        <v>1999</v>
      </c>
      <c r="B2" s="4" t="n">
        <v>1.3617162</v>
      </c>
      <c r="C2" s="5" t="n">
        <v>4.8232335</v>
      </c>
      <c r="D2" s="6" t="n">
        <v>72.791</v>
      </c>
      <c r="E2" s="7" t="n">
        <v>136.53</v>
      </c>
      <c r="F2" s="7" t="n">
        <v>1571.81807061028</v>
      </c>
      <c r="G2" s="8" t="n">
        <f aca="false">G3/(E3/100)</f>
        <v>0.102174453595963</v>
      </c>
      <c r="I2" s="9"/>
    </row>
    <row r="3" customFormat="false" ht="13.85" hidden="false" customHeight="false" outlineLevel="0" collapsed="false">
      <c r="A3" s="3" t="n">
        <v>2000</v>
      </c>
      <c r="B3" s="4" t="n">
        <v>2.6416277</v>
      </c>
      <c r="C3" s="5" t="n">
        <v>7.3056463</v>
      </c>
      <c r="D3" s="6" t="n">
        <v>72.332</v>
      </c>
      <c r="E3" s="7" t="n">
        <v>120.18</v>
      </c>
      <c r="F3" s="7" t="n">
        <v>2246.60691639884</v>
      </c>
      <c r="G3" s="8" t="n">
        <f aca="false">G4/(E4/100)</f>
        <v>0.122793258331628</v>
      </c>
      <c r="I3" s="9"/>
    </row>
    <row r="4" customFormat="false" ht="13.85" hidden="false" customHeight="false" outlineLevel="0" collapsed="false">
      <c r="A4" s="3" t="n">
        <v>2001</v>
      </c>
      <c r="B4" s="4" t="n">
        <v>2.9091523</v>
      </c>
      <c r="C4" s="5" t="n">
        <v>8.9435824</v>
      </c>
      <c r="D4" s="6" t="n">
        <v>71.411</v>
      </c>
      <c r="E4" s="7" t="n">
        <v>118.58</v>
      </c>
      <c r="F4" s="7" t="n">
        <v>3274.1302920869</v>
      </c>
      <c r="G4" s="8" t="n">
        <f aca="false">G5/(E5/100)</f>
        <v>0.145608245729645</v>
      </c>
      <c r="I4" s="9"/>
    </row>
    <row r="5" customFormat="false" ht="13.85" hidden="false" customHeight="false" outlineLevel="0" collapsed="false">
      <c r="A5" s="3" t="n">
        <v>2002</v>
      </c>
      <c r="B5" s="4" t="n">
        <v>3.1285556</v>
      </c>
      <c r="C5" s="5" t="n">
        <v>10.8305351</v>
      </c>
      <c r="D5" s="6" t="n">
        <v>72.421</v>
      </c>
      <c r="E5" s="7" t="n">
        <v>115.06</v>
      </c>
      <c r="F5" s="7" t="n">
        <v>4408.8038593121</v>
      </c>
      <c r="G5" s="8" t="n">
        <f aca="false">G6/(E6/100)</f>
        <v>0.167536847536529</v>
      </c>
      <c r="I5" s="9"/>
    </row>
    <row r="6" customFormat="false" ht="13.85" hidden="false" customHeight="false" outlineLevel="0" collapsed="false">
      <c r="A6" s="3" t="n">
        <v>2003</v>
      </c>
      <c r="B6" s="4" t="n">
        <v>3.7361146</v>
      </c>
      <c r="C6" s="5" t="n">
        <v>13.2082338</v>
      </c>
      <c r="D6" s="6" t="n">
        <v>72.835</v>
      </c>
      <c r="E6" s="7" t="n">
        <v>111.99</v>
      </c>
      <c r="F6" s="7" t="n">
        <v>5505.09061922486</v>
      </c>
      <c r="G6" s="8" t="n">
        <f aca="false">G7/(E7/100)</f>
        <v>0.187624515556159</v>
      </c>
      <c r="I6" s="9"/>
    </row>
    <row r="7" customFormat="false" ht="13.85" hidden="false" customHeight="false" outlineLevel="0" collapsed="false">
      <c r="A7" s="3" t="n">
        <v>2004</v>
      </c>
      <c r="B7" s="4" t="n">
        <v>5.1614451</v>
      </c>
      <c r="C7" s="5" t="n">
        <v>17.0271909</v>
      </c>
      <c r="D7" s="6" t="n">
        <v>72.909</v>
      </c>
      <c r="E7" s="7" t="n">
        <v>111.73</v>
      </c>
      <c r="F7" s="7" t="n">
        <v>6826.35204377919</v>
      </c>
      <c r="G7" s="8" t="n">
        <f aca="false">G8/(E8/100)</f>
        <v>0.209632871230896</v>
      </c>
      <c r="I7" s="9"/>
    </row>
    <row r="8" customFormat="false" ht="13.85" hidden="false" customHeight="false" outlineLevel="0" collapsed="false">
      <c r="A8" s="3" t="n">
        <v>2005</v>
      </c>
      <c r="B8" s="4" t="n">
        <v>6.6030039</v>
      </c>
      <c r="C8" s="5" t="n">
        <v>21.6097655</v>
      </c>
      <c r="D8" s="6" t="n">
        <v>73.811</v>
      </c>
      <c r="E8" s="7" t="n">
        <v>110.92</v>
      </c>
      <c r="F8" s="7" t="n">
        <v>8542.3659765814</v>
      </c>
      <c r="G8" s="8" t="n">
        <f aca="false">G9/(E9/100)</f>
        <v>0.23252478076931</v>
      </c>
      <c r="I8" s="9"/>
    </row>
    <row r="9" customFormat="false" ht="13.85" hidden="false" customHeight="false" outlineLevel="0" collapsed="false">
      <c r="A9" s="3" t="n">
        <v>2006</v>
      </c>
      <c r="B9" s="4" t="n">
        <v>8.2699869</v>
      </c>
      <c r="C9" s="5" t="n">
        <v>26.9172014</v>
      </c>
      <c r="D9" s="6" t="n">
        <v>74.156</v>
      </c>
      <c r="E9" s="7" t="n">
        <v>109</v>
      </c>
      <c r="F9" s="7" t="n">
        <v>10717.3380383335</v>
      </c>
      <c r="G9" s="8" t="n">
        <f aca="false">G10/(E10/100)</f>
        <v>0.253452011038548</v>
      </c>
      <c r="I9" s="9"/>
    </row>
    <row r="10" customFormat="false" ht="13.85" hidden="false" customHeight="false" outlineLevel="0" collapsed="false">
      <c r="A10" s="3" t="n">
        <v>2007</v>
      </c>
      <c r="B10" s="4" t="n">
        <v>10.4069869</v>
      </c>
      <c r="C10" s="5" t="n">
        <v>33.2475132</v>
      </c>
      <c r="D10" s="6" t="n">
        <v>75.06</v>
      </c>
      <c r="E10" s="7" t="n">
        <v>111.87</v>
      </c>
      <c r="F10" s="7" t="n">
        <v>13499.2191319014</v>
      </c>
      <c r="G10" s="8" t="n">
        <f aca="false">G11/(E11/100)</f>
        <v>0.283536764748824</v>
      </c>
      <c r="I10" s="9"/>
    </row>
    <row r="11" customFormat="false" ht="13.85" hidden="false" customHeight="false" outlineLevel="0" collapsed="false">
      <c r="A11" s="3" t="n">
        <v>2008</v>
      </c>
      <c r="B11" s="4" t="n">
        <v>12.4521861</v>
      </c>
      <c r="C11" s="5" t="n">
        <v>41.2768491</v>
      </c>
      <c r="D11" s="6" t="n">
        <v>75.892</v>
      </c>
      <c r="E11" s="7" t="n">
        <v>113.28</v>
      </c>
      <c r="F11" s="7" t="n">
        <v>17184.9736193198</v>
      </c>
      <c r="G11" s="8" t="n">
        <f aca="false">G12/(E12/100)</f>
        <v>0.321190447107468</v>
      </c>
      <c r="I11" s="9"/>
    </row>
    <row r="12" customFormat="false" ht="13.85" hidden="false" customHeight="false" outlineLevel="0" collapsed="false">
      <c r="A12" s="3" t="n">
        <v>2009</v>
      </c>
      <c r="B12" s="4" t="n">
        <v>8.187536</v>
      </c>
      <c r="C12" s="5" t="n">
        <v>38.8072186</v>
      </c>
      <c r="D12" s="6" t="n">
        <v>75.658</v>
      </c>
      <c r="E12" s="7" t="n">
        <v>108.8</v>
      </c>
      <c r="F12" s="7" t="n">
        <v>18793.2868300266</v>
      </c>
      <c r="G12" s="8" t="n">
        <f aca="false">G13/(E13/100)</f>
        <v>0.349455206452925</v>
      </c>
      <c r="I12" s="9"/>
    </row>
    <row r="13" customFormat="false" ht="13.85" hidden="false" customHeight="false" outlineLevel="0" collapsed="false">
      <c r="A13" s="3" t="n">
        <v>2010</v>
      </c>
      <c r="B13" s="4" t="n">
        <v>12.2061078</v>
      </c>
      <c r="C13" s="5" t="n">
        <v>46.3085412</v>
      </c>
      <c r="D13" s="6" t="n">
        <v>75.44</v>
      </c>
      <c r="E13" s="7" t="n">
        <v>108.78</v>
      </c>
      <c r="F13" s="7" t="n">
        <v>21157.2029499134</v>
      </c>
      <c r="G13" s="8" t="n">
        <f aca="false">G14/(E14/100)</f>
        <v>0.380137373579492</v>
      </c>
      <c r="I13" s="9"/>
    </row>
    <row r="14" customFormat="false" ht="13.85" hidden="false" customHeight="false" outlineLevel="0" collapsed="false">
      <c r="A14" s="3" t="n">
        <v>2011</v>
      </c>
      <c r="B14" s="4" t="n">
        <v>17.2990687</v>
      </c>
      <c r="C14" s="5" t="n">
        <v>60.1140008</v>
      </c>
      <c r="D14" s="6" t="n">
        <v>75.779</v>
      </c>
      <c r="E14" s="7" t="n">
        <v>106.1</v>
      </c>
      <c r="F14" s="7" t="n">
        <v>23621.7158992645</v>
      </c>
      <c r="G14" s="8" t="n">
        <f aca="false">G15/(E15/100)</f>
        <v>0.403325753367841</v>
      </c>
      <c r="I14" s="9"/>
    </row>
    <row r="15" customFormat="false" ht="13.85" hidden="false" customHeight="false" outlineLevel="0" collapsed="false">
      <c r="A15" s="3" t="n">
        <v>2012</v>
      </c>
      <c r="B15" s="4" t="n">
        <v>18.5321762</v>
      </c>
      <c r="C15" s="5" t="n">
        <v>68.1034495</v>
      </c>
      <c r="D15" s="6" t="n">
        <v>75.676</v>
      </c>
      <c r="E15" s="7" t="n">
        <v>106.57</v>
      </c>
      <c r="F15" s="7" t="n">
        <v>26752.1618949989</v>
      </c>
      <c r="G15" s="8" t="n">
        <f aca="false">G16/(E16/100)</f>
        <v>0.429824255364108</v>
      </c>
      <c r="I15" s="9"/>
    </row>
    <row r="16" customFormat="false" ht="13.85" hidden="false" customHeight="false" outlineLevel="0" collapsed="false">
      <c r="A16" s="3" t="n">
        <v>2013</v>
      </c>
      <c r="B16" s="4" t="n">
        <v>17.7073429</v>
      </c>
      <c r="C16" s="5" t="n">
        <v>72.9857011</v>
      </c>
      <c r="D16" s="6" t="n">
        <v>75.529</v>
      </c>
      <c r="E16" s="7" t="n">
        <v>106.47</v>
      </c>
      <c r="F16" s="7" t="n">
        <v>30091.1684345425</v>
      </c>
      <c r="G16" s="8" t="n">
        <f aca="false">G17/(E17/100)</f>
        <v>0.457633884686165</v>
      </c>
      <c r="I16" s="9"/>
    </row>
    <row r="17" customFormat="false" ht="13.85" hidden="false" customHeight="false" outlineLevel="0" collapsed="false">
      <c r="A17" s="3" t="n">
        <v>2014</v>
      </c>
      <c r="B17" s="4" t="n">
        <v>19.4057451</v>
      </c>
      <c r="C17" s="5" t="n">
        <v>79.0300401</v>
      </c>
      <c r="D17" s="6" t="n">
        <v>75.428</v>
      </c>
      <c r="E17" s="7" t="n">
        <v>111.35</v>
      </c>
      <c r="F17" s="7" t="n">
        <v>32596.9799392452</v>
      </c>
      <c r="G17" s="8" t="n">
        <f aca="false">G18/(E18/100)</f>
        <v>0.509575330598045</v>
      </c>
      <c r="I17" s="9"/>
    </row>
    <row r="18" customFormat="false" ht="13.85" hidden="false" customHeight="false" outlineLevel="0" collapsed="false">
      <c r="A18" s="3" t="n">
        <v>2015</v>
      </c>
      <c r="B18" s="4" t="n">
        <v>21.9848586</v>
      </c>
      <c r="C18" s="5" t="n">
        <v>83.0873601</v>
      </c>
      <c r="D18" s="6" t="n">
        <v>76.503</v>
      </c>
      <c r="E18" s="7" t="n">
        <v>112.91</v>
      </c>
      <c r="F18" s="7" t="n">
        <v>34011.0353936008</v>
      </c>
      <c r="G18" s="8" t="n">
        <f aca="false">G19/(E19/100)</f>
        <v>0.575361505778253</v>
      </c>
      <c r="I18" s="9"/>
    </row>
    <row r="19" customFormat="false" ht="13.85" hidden="false" customHeight="false" outlineLevel="0" collapsed="false">
      <c r="A19" s="3" t="n">
        <v>2016</v>
      </c>
      <c r="B19" s="4" t="n">
        <v>21.4662827</v>
      </c>
      <c r="C19" s="5" t="n">
        <v>85.6160838</v>
      </c>
      <c r="D19" s="6" t="n">
        <v>76.3218</v>
      </c>
      <c r="E19" s="7" t="n">
        <v>105.39</v>
      </c>
      <c r="F19" s="7" t="n">
        <v>36671.1089630323</v>
      </c>
      <c r="G19" s="8" t="n">
        <f aca="false">G20/(E20/100)</f>
        <v>0.606373490939701</v>
      </c>
      <c r="I19" s="9"/>
    </row>
    <row r="20" customFormat="false" ht="13.85" hidden="false" customHeight="false" outlineLevel="0" collapsed="false">
      <c r="A20" s="3" t="n">
        <v>2017</v>
      </c>
      <c r="B20" s="4" t="n">
        <v>23.5800576</v>
      </c>
      <c r="C20" s="5" t="n">
        <v>91.8431542</v>
      </c>
      <c r="D20" s="6" t="n">
        <v>76.659161</v>
      </c>
      <c r="E20" s="7" t="n">
        <v>102.51</v>
      </c>
      <c r="F20" s="7" t="n">
        <v>39140.5674790814</v>
      </c>
      <c r="G20" s="8" t="n">
        <f aca="false">G21/(E21/100)</f>
        <v>0.621593465562287</v>
      </c>
      <c r="I20" s="9"/>
    </row>
    <row r="21" customFormat="false" ht="13.85" hidden="false" customHeight="false" outlineLevel="0" collapsed="false">
      <c r="A21" s="3" t="n">
        <v>2018</v>
      </c>
      <c r="B21" s="4" t="n">
        <v>30.0503043</v>
      </c>
      <c r="C21" s="5" t="n">
        <v>103.8616511</v>
      </c>
      <c r="D21" s="6" t="n">
        <v>76.629637</v>
      </c>
      <c r="E21" s="7" t="n">
        <v>104.26</v>
      </c>
      <c r="F21" s="7" t="n">
        <v>43397.6546827778</v>
      </c>
      <c r="G21" s="8" t="n">
        <f aca="false">G22/(E22/100)</f>
        <v>0.648073347195241</v>
      </c>
      <c r="I21" s="9"/>
    </row>
    <row r="22" customFormat="false" ht="13.85" hidden="false" customHeight="false" outlineLevel="0" collapsed="false">
      <c r="A22" s="3" t="n">
        <v>2019</v>
      </c>
      <c r="B22" s="4" t="n">
        <v>29.1037692</v>
      </c>
      <c r="C22" s="5" t="n">
        <v>109.6083058</v>
      </c>
      <c r="D22" s="6" t="n">
        <v>75.880388</v>
      </c>
      <c r="E22" s="7" t="n">
        <v>103.04</v>
      </c>
      <c r="F22" s="7" t="n">
        <v>47331.276325483</v>
      </c>
      <c r="G22" s="8" t="n">
        <f aca="false">G23/(E23/100)</f>
        <v>0.667774776949976</v>
      </c>
      <c r="I22" s="9"/>
    </row>
    <row r="23" customFormat="false" ht="13.85" hidden="false" customHeight="false" outlineLevel="0" collapsed="false">
      <c r="A23" s="3" t="n">
        <v>2020</v>
      </c>
      <c r="B23" s="4" t="n">
        <v>27.691457</v>
      </c>
      <c r="C23" s="5" t="n">
        <v>107.658131</v>
      </c>
      <c r="D23" s="6" t="n">
        <v>75.466241</v>
      </c>
      <c r="E23" s="7" t="n">
        <v>104.91</v>
      </c>
      <c r="F23" s="7" t="n">
        <v>50601.4331307056</v>
      </c>
      <c r="G23" s="8" t="n">
        <f aca="false">G24/(E24/100)</f>
        <v>0.70056251849822</v>
      </c>
      <c r="I23" s="9"/>
    </row>
    <row r="24" customFormat="false" ht="13.85" hidden="false" customHeight="false" outlineLevel="0" collapsed="false">
      <c r="A24" s="3" t="n">
        <v>2021</v>
      </c>
      <c r="B24" s="4" t="n">
        <v>40.1722789</v>
      </c>
      <c r="C24" s="5" t="n">
        <v>134.7274674</v>
      </c>
      <c r="D24" s="6" t="n">
        <v>75.969247</v>
      </c>
      <c r="E24" s="7" t="n">
        <v>108.39</v>
      </c>
      <c r="F24" s="7" t="n">
        <v>57244</v>
      </c>
      <c r="G24" s="8" t="n">
        <f aca="false">G25/(E25/100)</f>
        <v>0.75933971380022</v>
      </c>
      <c r="I24" s="9"/>
    </row>
    <row r="25" customFormat="false" ht="13.85" hidden="false" customHeight="false" outlineLevel="0" collapsed="false">
      <c r="A25" s="3" t="n">
        <v>2022</v>
      </c>
      <c r="B25" s="4" t="n">
        <v>51.4405537</v>
      </c>
      <c r="C25" s="5" t="n">
        <v>156.9409232</v>
      </c>
      <c r="D25" s="6" t="n">
        <v>75.632425</v>
      </c>
      <c r="E25" s="7" t="n">
        <v>111.94</v>
      </c>
      <c r="F25" s="7" t="n">
        <v>65338</v>
      </c>
      <c r="G25" s="8" t="n">
        <f aca="false">G26/(E26/100)</f>
        <v>0.850004875627967</v>
      </c>
      <c r="I25" s="9"/>
    </row>
    <row r="26" customFormat="false" ht="13.85" hidden="false" customHeight="false" outlineLevel="0" collapsed="false">
      <c r="A26" s="3" t="n">
        <v>2023</v>
      </c>
      <c r="B26" s="4" t="n">
        <v>54.7297731</v>
      </c>
      <c r="C26" s="5" t="n">
        <v>176.4135871</v>
      </c>
      <c r="D26" s="6" t="n">
        <v>76.036703</v>
      </c>
      <c r="E26" s="7" t="n">
        <v>107.42</v>
      </c>
      <c r="F26" s="7" t="n">
        <v>74854</v>
      </c>
      <c r="G26" s="8" t="n">
        <f aca="false">G27/(E27/100)</f>
        <v>0.913075237399562</v>
      </c>
      <c r="I26" s="9"/>
    </row>
    <row r="27" customFormat="false" ht="13.85" hidden="false" customHeight="false" outlineLevel="0" collapsed="false">
      <c r="A27" s="3" t="n">
        <v>2024</v>
      </c>
      <c r="B27" s="4" t="n">
        <v>61.6076115</v>
      </c>
      <c r="C27" s="5" t="n">
        <v>201.1520922</v>
      </c>
      <c r="D27" s="6" t="n">
        <v>76.104662</v>
      </c>
      <c r="E27" s="7" t="n">
        <v>109.52</v>
      </c>
      <c r="F27" s="7" t="n">
        <v>87952</v>
      </c>
      <c r="G27" s="3" t="n">
        <v>1</v>
      </c>
      <c r="I27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234375" defaultRowHeight="12.8" zeroHeight="false" outlineLevelRow="0" outlineLevelCol="0"/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2" t="n">
        <v>1999</v>
      </c>
      <c r="B2" s="10" t="n">
        <f aca="false">nominal!B2/nominal!$G2</f>
        <v>13.3273646403312</v>
      </c>
      <c r="C2" s="10" t="n">
        <f aca="false">nominal!C2/nominal!$G2</f>
        <v>47.2058653631066</v>
      </c>
      <c r="D2" s="10" t="n">
        <f aca="false">nominal!D2</f>
        <v>72.791</v>
      </c>
    </row>
    <row r="3" customFormat="false" ht="13.8" hidden="false" customHeight="false" outlineLevel="0" collapsed="false">
      <c r="A3" s="2" t="n">
        <v>2000</v>
      </c>
      <c r="B3" s="10" t="n">
        <f aca="false">nominal!B3/nominal!$G3</f>
        <v>21.5128072655728</v>
      </c>
      <c r="C3" s="10" t="n">
        <f aca="false">nominal!C3/nominal!$G3</f>
        <v>59.4954999912912</v>
      </c>
      <c r="D3" s="10" t="n">
        <f aca="false">nominal!D3</f>
        <v>72.332</v>
      </c>
    </row>
    <row r="4" customFormat="false" ht="13.8" hidden="false" customHeight="false" outlineLevel="0" collapsed="false">
      <c r="A4" s="2" t="n">
        <v>2001</v>
      </c>
      <c r="B4" s="10" t="n">
        <f aca="false">nominal!B4/nominal!$G4</f>
        <v>19.9793101374322</v>
      </c>
      <c r="C4" s="10" t="n">
        <f aca="false">nominal!C4/nominal!$G4</f>
        <v>61.4222247866775</v>
      </c>
      <c r="D4" s="10" t="n">
        <f aca="false">nominal!D4</f>
        <v>71.411</v>
      </c>
    </row>
    <row r="5" customFormat="false" ht="13.8" hidden="false" customHeight="false" outlineLevel="0" collapsed="false">
      <c r="A5" s="2" t="n">
        <v>2002</v>
      </c>
      <c r="B5" s="10" t="n">
        <f aca="false">nominal!B5/nominal!$G5</f>
        <v>18.673835911338</v>
      </c>
      <c r="C5" s="10" t="n">
        <f aca="false">nominal!C5/nominal!$G5</f>
        <v>64.6456899437514</v>
      </c>
      <c r="D5" s="10" t="n">
        <f aca="false">nominal!D5</f>
        <v>72.421</v>
      </c>
    </row>
    <row r="6" customFormat="false" ht="13.8" hidden="false" customHeight="false" outlineLevel="0" collapsed="false">
      <c r="A6" s="2" t="n">
        <v>2003</v>
      </c>
      <c r="B6" s="10" t="n">
        <f aca="false">nominal!B6/nominal!$G6</f>
        <v>19.9127208346168</v>
      </c>
      <c r="C6" s="10" t="n">
        <f aca="false">nominal!C6/nominal!$G6</f>
        <v>70.397164042492</v>
      </c>
      <c r="D6" s="10" t="n">
        <f aca="false">nominal!D6</f>
        <v>72.835</v>
      </c>
    </row>
    <row r="7" customFormat="false" ht="13.8" hidden="false" customHeight="false" outlineLevel="0" collapsed="false">
      <c r="A7" s="2" t="n">
        <v>2004</v>
      </c>
      <c r="B7" s="10" t="n">
        <f aca="false">nominal!B7/nominal!$G7</f>
        <v>24.6213538444313</v>
      </c>
      <c r="C7" s="10" t="n">
        <f aca="false">nominal!C7/nominal!$G7</f>
        <v>81.2238595980766</v>
      </c>
      <c r="D7" s="10" t="n">
        <f aca="false">nominal!D7</f>
        <v>72.909</v>
      </c>
    </row>
    <row r="8" customFormat="false" ht="13.8" hidden="false" customHeight="false" outlineLevel="0" collapsed="false">
      <c r="A8" s="2" t="n">
        <v>2005</v>
      </c>
      <c r="B8" s="10" t="n">
        <f aca="false">nominal!B8/nominal!$G8</f>
        <v>28.3969901107052</v>
      </c>
      <c r="C8" s="10" t="n">
        <f aca="false">nominal!C8/nominal!$G8</f>
        <v>92.9353225428443</v>
      </c>
      <c r="D8" s="10" t="n">
        <f aca="false">nominal!D8</f>
        <v>73.811</v>
      </c>
    </row>
    <row r="9" customFormat="false" ht="13.8" hidden="false" customHeight="false" outlineLevel="0" collapsed="false">
      <c r="A9" s="2" t="n">
        <v>2006</v>
      </c>
      <c r="B9" s="10" t="n">
        <f aca="false">nominal!B9/nominal!$G9</f>
        <v>32.6293994121917</v>
      </c>
      <c r="C9" s="10" t="n">
        <f aca="false">nominal!C9/nominal!$G9</f>
        <v>106.202358741222</v>
      </c>
      <c r="D9" s="10" t="n">
        <f aca="false">nominal!D9</f>
        <v>74.156</v>
      </c>
    </row>
    <row r="10" customFormat="false" ht="13.8" hidden="false" customHeight="false" outlineLevel="0" collapsed="false">
      <c r="A10" s="2" t="n">
        <v>2007</v>
      </c>
      <c r="B10" s="10" t="n">
        <f aca="false">nominal!B10/nominal!$G10</f>
        <v>36.7041886410012</v>
      </c>
      <c r="C10" s="10" t="n">
        <f aca="false">nominal!C10/nominal!$G10</f>
        <v>117.259972368849</v>
      </c>
      <c r="D10" s="10" t="n">
        <f aca="false">nominal!D10</f>
        <v>75.06</v>
      </c>
    </row>
    <row r="11" customFormat="false" ht="13.8" hidden="false" customHeight="false" outlineLevel="0" collapsed="false">
      <c r="A11" s="2" t="n">
        <v>2008</v>
      </c>
      <c r="B11" s="10" t="n">
        <f aca="false">nominal!B11/nominal!$G11</f>
        <v>38.7688557120555</v>
      </c>
      <c r="C11" s="10" t="n">
        <f aca="false">nominal!C11/nominal!$G11</f>
        <v>128.512069620144</v>
      </c>
      <c r="D11" s="10" t="n">
        <f aca="false">nominal!D11</f>
        <v>75.892</v>
      </c>
    </row>
    <row r="12" customFormat="false" ht="13.8" hidden="false" customHeight="false" outlineLevel="0" collapsed="false">
      <c r="A12" s="2" t="n">
        <v>2009</v>
      </c>
      <c r="B12" s="10" t="n">
        <f aca="false">nominal!B12/nominal!$G12</f>
        <v>23.4294291480329</v>
      </c>
      <c r="C12" s="10" t="n">
        <f aca="false">nominal!C12/nominal!$G12</f>
        <v>111.050623608974</v>
      </c>
      <c r="D12" s="10" t="n">
        <f aca="false">nominal!D12</f>
        <v>75.658</v>
      </c>
    </row>
    <row r="13" customFormat="false" ht="13.8" hidden="false" customHeight="false" outlineLevel="0" collapsed="false">
      <c r="A13" s="2" t="n">
        <v>2010</v>
      </c>
      <c r="B13" s="10" t="n">
        <f aca="false">nominal!B13/nominal!$G13</f>
        <v>32.1097283465277</v>
      </c>
      <c r="C13" s="10" t="n">
        <f aca="false">nominal!C13/nominal!$G13</f>
        <v>121.820542831515</v>
      </c>
      <c r="D13" s="10" t="n">
        <f aca="false">nominal!D13</f>
        <v>75.44</v>
      </c>
    </row>
    <row r="14" customFormat="false" ht="13.8" hidden="false" customHeight="false" outlineLevel="0" collapsed="false">
      <c r="A14" s="2" t="n">
        <v>2011</v>
      </c>
      <c r="B14" s="10" t="n">
        <f aca="false">nominal!B14/nominal!$G14</f>
        <v>42.8910590398698</v>
      </c>
      <c r="C14" s="10" t="n">
        <f aca="false">nominal!C14/nominal!$G14</f>
        <v>149.045778252536</v>
      </c>
      <c r="D14" s="10" t="n">
        <f aca="false">nominal!D14</f>
        <v>75.779</v>
      </c>
    </row>
    <row r="15" customFormat="false" ht="13.8" hidden="false" customHeight="false" outlineLevel="0" collapsed="false">
      <c r="A15" s="2" t="n">
        <v>2012</v>
      </c>
      <c r="B15" s="10" t="n">
        <f aca="false">nominal!B15/nominal!$G15</f>
        <v>43.1157059396316</v>
      </c>
      <c r="C15" s="10" t="n">
        <f aca="false">nominal!C15/nominal!$G15</f>
        <v>158.444872875564</v>
      </c>
      <c r="D15" s="10" t="n">
        <f aca="false">nominal!D15</f>
        <v>75.676</v>
      </c>
    </row>
    <row r="16" customFormat="false" ht="13.8" hidden="false" customHeight="false" outlineLevel="0" collapsed="false">
      <c r="A16" s="2" t="n">
        <v>2013</v>
      </c>
      <c r="B16" s="10" t="n">
        <f aca="false">nominal!B16/nominal!$G16</f>
        <v>38.6932512922274</v>
      </c>
      <c r="C16" s="10" t="n">
        <f aca="false">nominal!C16/nominal!$G16</f>
        <v>159.484914780845</v>
      </c>
      <c r="D16" s="10" t="n">
        <f aca="false">nominal!D16</f>
        <v>75.529</v>
      </c>
    </row>
    <row r="17" customFormat="false" ht="13.8" hidden="false" customHeight="false" outlineLevel="0" collapsed="false">
      <c r="A17" s="2" t="n">
        <v>2014</v>
      </c>
      <c r="B17" s="10" t="n">
        <f aca="false">nominal!B17/nominal!$G17</f>
        <v>38.0821910613788</v>
      </c>
      <c r="C17" s="10" t="n">
        <f aca="false">nominal!C17/nominal!$G17</f>
        <v>155.090004077021</v>
      </c>
      <c r="D17" s="10" t="n">
        <f aca="false">nominal!D17</f>
        <v>75.428</v>
      </c>
    </row>
    <row r="18" customFormat="false" ht="13.8" hidden="false" customHeight="false" outlineLevel="0" collapsed="false">
      <c r="A18" s="2" t="n">
        <v>2015</v>
      </c>
      <c r="B18" s="10" t="n">
        <f aca="false">nominal!B18/nominal!$G18</f>
        <v>38.2105135279472</v>
      </c>
      <c r="C18" s="10" t="n">
        <f aca="false">nominal!C18/nominal!$G18</f>
        <v>144.408965955436</v>
      </c>
      <c r="D18" s="10" t="n">
        <f aca="false">nominal!D18</f>
        <v>76.503</v>
      </c>
    </row>
    <row r="19" customFormat="false" ht="13.8" hidden="false" customHeight="false" outlineLevel="0" collapsed="false">
      <c r="A19" s="2" t="n">
        <v>2016</v>
      </c>
      <c r="B19" s="10" t="n">
        <f aca="false">nominal!B19/nominal!$G19</f>
        <v>35.4010902863408</v>
      </c>
      <c r="C19" s="10" t="n">
        <f aca="false">nominal!C19/nominal!$G19</f>
        <v>141.193645631375</v>
      </c>
      <c r="D19" s="10" t="n">
        <f aca="false">nominal!D19</f>
        <v>76.3218</v>
      </c>
    </row>
    <row r="20" customFormat="false" ht="13.8" hidden="false" customHeight="false" outlineLevel="0" collapsed="false">
      <c r="A20" s="2" t="n">
        <v>2017</v>
      </c>
      <c r="B20" s="10" t="n">
        <f aca="false">nominal!B20/nominal!$G20</f>
        <v>37.9348543805391</v>
      </c>
      <c r="C20" s="10" t="n">
        <f aca="false">nominal!C20/nominal!$G20</f>
        <v>147.754375308498</v>
      </c>
      <c r="D20" s="10" t="n">
        <f aca="false">nominal!D20</f>
        <v>76.659161</v>
      </c>
    </row>
    <row r="21" customFormat="false" ht="13.8" hidden="false" customHeight="false" outlineLevel="0" collapsed="false">
      <c r="A21" s="2" t="n">
        <v>2018</v>
      </c>
      <c r="B21" s="10" t="n">
        <f aca="false">nominal!B21/nominal!$G21</f>
        <v>46.368677912852</v>
      </c>
      <c r="C21" s="10" t="n">
        <f aca="false">nominal!C21/nominal!$G21</f>
        <v>160.2621856762</v>
      </c>
      <c r="D21" s="10" t="n">
        <f aca="false">nominal!D21</f>
        <v>76.629637</v>
      </c>
    </row>
    <row r="22" customFormat="false" ht="13.8" hidden="false" customHeight="false" outlineLevel="0" collapsed="false">
      <c r="A22" s="2" t="n">
        <v>2019</v>
      </c>
      <c r="B22" s="10" t="n">
        <f aca="false">nominal!B22/nominal!$G22</f>
        <v>43.5832112930798</v>
      </c>
      <c r="C22" s="10" t="n">
        <f aca="false">nominal!C22/nominal!$G22</f>
        <v>164.139631479688</v>
      </c>
      <c r="D22" s="10" t="n">
        <f aca="false">nominal!D22</f>
        <v>75.880388</v>
      </c>
    </row>
    <row r="23" customFormat="false" ht="13.8" hidden="false" customHeight="false" outlineLevel="0" collapsed="false">
      <c r="A23" s="2" t="n">
        <v>2020</v>
      </c>
      <c r="B23" s="10" t="n">
        <f aca="false">nominal!B23/nominal!$G23</f>
        <v>39.5274601035773</v>
      </c>
      <c r="C23" s="10" t="n">
        <f aca="false">nominal!C23/nominal!$G23</f>
        <v>153.673838033448</v>
      </c>
      <c r="D23" s="10" t="n">
        <f aca="false">nominal!D23</f>
        <v>75.466241</v>
      </c>
    </row>
    <row r="24" customFormat="false" ht="13.8" hidden="false" customHeight="false" outlineLevel="0" collapsed="false">
      <c r="A24" s="2" t="n">
        <v>2021</v>
      </c>
      <c r="B24" s="10" t="n">
        <f aca="false">nominal!B24/nominal!$G24</f>
        <v>52.9042247756966</v>
      </c>
      <c r="C24" s="10" t="n">
        <f aca="false">nominal!C24/nominal!$G24</f>
        <v>177.427131692794</v>
      </c>
      <c r="D24" s="10" t="n">
        <f aca="false">nominal!D24</f>
        <v>75.969247</v>
      </c>
    </row>
    <row r="25" customFormat="false" ht="13.8" hidden="false" customHeight="false" outlineLevel="0" collapsed="false">
      <c r="A25" s="2" t="n">
        <v>2022</v>
      </c>
      <c r="B25" s="10" t="n">
        <f aca="false">nominal!B25/nominal!$G25</f>
        <v>60.5179513376282</v>
      </c>
      <c r="C25" s="10" t="n">
        <f aca="false">nominal!C25/nominal!$G25</f>
        <v>184.635321161017</v>
      </c>
      <c r="D25" s="10" t="n">
        <f aca="false">nominal!D25</f>
        <v>75.632425</v>
      </c>
    </row>
    <row r="26" customFormat="false" ht="13.8" hidden="false" customHeight="false" outlineLevel="0" collapsed="false">
      <c r="A26" s="2" t="n">
        <v>2023</v>
      </c>
      <c r="B26" s="10" t="n">
        <f aca="false">nominal!B26/nominal!$G26</f>
        <v>59.94004749912</v>
      </c>
      <c r="C26" s="10" t="n">
        <f aca="false">nominal!C26/nominal!$G26</f>
        <v>193.20816059192</v>
      </c>
      <c r="D26" s="10" t="n">
        <f aca="false">nominal!D26</f>
        <v>76.036703</v>
      </c>
    </row>
    <row r="27" customFormat="false" ht="13.8" hidden="false" customHeight="false" outlineLevel="0" collapsed="false">
      <c r="A27" s="2" t="n">
        <v>2024</v>
      </c>
      <c r="B27" s="10" t="n">
        <f aca="false">nominal!B27/nominal!$G27</f>
        <v>61.6076115</v>
      </c>
      <c r="C27" s="10" t="n">
        <f aca="false">nominal!C27/nominal!$G27</f>
        <v>201.1520922</v>
      </c>
      <c r="D27" s="10" t="n">
        <f aca="false">nominal!D27</f>
        <v>76.104662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</v>
      </c>
    </row>
    <row r="2" customFormat="false" ht="12.8" hidden="false" customHeight="false" outlineLevel="0" collapsed="false">
      <c r="A2" s="10" t="n">
        <f aca="false">nominal!F2/nominal!$G2</f>
        <v>15383.669941861</v>
      </c>
    </row>
    <row r="3" customFormat="false" ht="12.8" hidden="false" customHeight="false" outlineLevel="0" collapsed="false">
      <c r="A3" s="10" t="n">
        <f aca="false">nominal!F3/nominal!$G3</f>
        <v>18295.8490305015</v>
      </c>
    </row>
    <row r="4" customFormat="false" ht="12.8" hidden="false" customHeight="false" outlineLevel="0" collapsed="false">
      <c r="A4" s="10" t="n">
        <f aca="false">nominal!F4/nominal!$G4</f>
        <v>22485.8851617928</v>
      </c>
    </row>
    <row r="5" customFormat="false" ht="12.8" hidden="false" customHeight="false" outlineLevel="0" collapsed="false">
      <c r="A5" s="10" t="n">
        <f aca="false">nominal!F5/nominal!$G5</f>
        <v>26315.4280633746</v>
      </c>
    </row>
    <row r="6" customFormat="false" ht="12.8" hidden="false" customHeight="false" outlineLevel="0" collapsed="false">
      <c r="A6" s="10" t="n">
        <f aca="false">nominal!F6/nominal!$G6</f>
        <v>29340.9984452544</v>
      </c>
    </row>
    <row r="7" customFormat="false" ht="12.8" hidden="false" customHeight="false" outlineLevel="0" collapsed="false">
      <c r="A7" s="10" t="n">
        <f aca="false">nominal!F7/nominal!$G7</f>
        <v>32563.3666308965</v>
      </c>
    </row>
    <row r="8" customFormat="false" ht="12.8" hidden="false" customHeight="false" outlineLevel="0" collapsed="false">
      <c r="A8" s="10" t="n">
        <f aca="false">nominal!F8/nominal!$G8</f>
        <v>36737.4434170797</v>
      </c>
    </row>
    <row r="9" customFormat="false" ht="12.8" hidden="false" customHeight="false" outlineLevel="0" collapsed="false">
      <c r="A9" s="10" t="n">
        <f aca="false">nominal!F9/nominal!$G9</f>
        <v>42285.4724822187</v>
      </c>
    </row>
    <row r="10" customFormat="false" ht="12.8" hidden="false" customHeight="false" outlineLevel="0" collapsed="false">
      <c r="A10" s="10" t="n">
        <f aca="false">nominal!F10/nominal!$G10</f>
        <v>47610.1190752454</v>
      </c>
    </row>
    <row r="11" customFormat="false" ht="12.8" hidden="false" customHeight="false" outlineLevel="0" collapsed="false">
      <c r="A11" s="10" t="n">
        <f aca="false">nominal!F11/nominal!$G11</f>
        <v>53503.9998047322</v>
      </c>
    </row>
    <row r="12" customFormat="false" ht="12.8" hidden="false" customHeight="false" outlineLevel="0" collapsed="false">
      <c r="A12" s="10" t="n">
        <f aca="false">nominal!F12/nominal!$G12</f>
        <v>53778.8148037173</v>
      </c>
    </row>
    <row r="13" customFormat="false" ht="12.8" hidden="false" customHeight="false" outlineLevel="0" collapsed="false">
      <c r="A13" s="10" t="n">
        <f aca="false">nominal!F13/nominal!$G13</f>
        <v>55656.7294362314</v>
      </c>
    </row>
    <row r="14" customFormat="false" ht="12.8" hidden="false" customHeight="false" outlineLevel="0" collapsed="false">
      <c r="A14" s="10" t="n">
        <f aca="false">nominal!F14/nominal!$G14</f>
        <v>58567.3384405014</v>
      </c>
    </row>
    <row r="15" customFormat="false" ht="12.8" hidden="false" customHeight="false" outlineLevel="0" collapsed="false">
      <c r="A15" s="10" t="n">
        <f aca="false">nominal!F15/nominal!$G15</f>
        <v>62239.7679077857</v>
      </c>
    </row>
    <row r="16" customFormat="false" ht="12.8" hidden="false" customHeight="false" outlineLevel="0" collapsed="false">
      <c r="A16" s="10" t="n">
        <f aca="false">nominal!F16/nominal!$G16</f>
        <v>65753.8032944792</v>
      </c>
    </row>
    <row r="17" customFormat="false" ht="12.8" hidden="false" customHeight="false" outlineLevel="0" collapsed="false">
      <c r="A17" s="10" t="n">
        <f aca="false">nominal!F17/nominal!$G17</f>
        <v>63968.9129004516</v>
      </c>
    </row>
    <row r="18" customFormat="false" ht="12.8" hidden="false" customHeight="false" outlineLevel="0" collapsed="false">
      <c r="A18" s="10" t="n">
        <f aca="false">nominal!F18/nominal!$G18</f>
        <v>59112.4624293319</v>
      </c>
    </row>
    <row r="19" customFormat="false" ht="12.8" hidden="false" customHeight="false" outlineLevel="0" collapsed="false">
      <c r="A19" s="10" t="n">
        <f aca="false">nominal!F19/nominal!$G19</f>
        <v>60476.1083902314</v>
      </c>
    </row>
    <row r="20" customFormat="false" ht="12.8" hidden="false" customHeight="false" outlineLevel="0" collapsed="false">
      <c r="A20" s="10" t="n">
        <f aca="false">nominal!F20/nominal!$G20</f>
        <v>62968.1128383086</v>
      </c>
    </row>
    <row r="21" customFormat="false" ht="12.8" hidden="false" customHeight="false" outlineLevel="0" collapsed="false">
      <c r="A21" s="10" t="n">
        <f aca="false">nominal!F21/nominal!$G21</f>
        <v>66964.1096499278</v>
      </c>
    </row>
    <row r="22" customFormat="false" ht="12.8" hidden="false" customHeight="false" outlineLevel="0" collapsed="false">
      <c r="A22" s="10" t="n">
        <f aca="false">nominal!F22/nominal!$G22</f>
        <v>70879.1016960328</v>
      </c>
    </row>
    <row r="23" customFormat="false" ht="12.8" hidden="false" customHeight="false" outlineLevel="0" collapsed="false">
      <c r="A23" s="10" t="n">
        <f aca="false">nominal!F23/nominal!$G23</f>
        <v>72229.7179688955</v>
      </c>
    </row>
    <row r="24" customFormat="false" ht="12.8" hidden="false" customHeight="false" outlineLevel="0" collapsed="false">
      <c r="A24" s="10" t="n">
        <f aca="false">nominal!F24/nominal!$G24</f>
        <v>75386.548286161</v>
      </c>
    </row>
    <row r="25" customFormat="false" ht="12.8" hidden="false" customHeight="false" outlineLevel="0" collapsed="false">
      <c r="A25" s="10" t="n">
        <f aca="false">nominal!F25/nominal!$G25</f>
        <v>76867.79437792</v>
      </c>
    </row>
    <row r="26" customFormat="false" ht="12.8" hidden="false" customHeight="false" outlineLevel="0" collapsed="false">
      <c r="A26" s="10" t="n">
        <f aca="false">nominal!F26/nominal!$G26</f>
        <v>81980.1008</v>
      </c>
    </row>
    <row r="27" customFormat="false" ht="12.8" hidden="false" customHeight="false" outlineLevel="0" collapsed="false">
      <c r="A27" s="10" t="n">
        <f aca="false">nominal!F27/nominal!$G27</f>
        <v>87952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2000-03-31T12:16:36Z</dcterms:created>
  <dc:creator>Андреева</dc:creator>
  <dc:description/>
  <dc:language>ru-RU</dc:language>
  <cp:lastModifiedBy/>
  <cp:lastPrinted>2016-07-26T13:59:23Z</cp:lastPrinted>
  <dcterms:modified xsi:type="dcterms:W3CDTF">2025-06-08T23:13:28Z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